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YandexDisk\05 NeiroLinks\05 38 Плодоовощ 47 Раввин\GPT\"/>
    </mc:Choice>
  </mc:AlternateContent>
  <xr:revisionPtr revIDLastSave="0" documentId="8_{CD5AD2FC-E7F3-40CA-8E6D-95814BCC9E34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Зоны" sheetId="1" r:id="rId1"/>
    <sheet name="Контуры" sheetId="2" r:id="rId2"/>
    <sheet name="Кондиционеры" sheetId="3" r:id="rId3"/>
    <sheet name="Справочник" sheetId="4" r:id="rId4"/>
    <sheet name="Памятк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11" i="1"/>
  <c r="F10" i="1"/>
  <c r="F12" i="1"/>
  <c r="F8" i="1"/>
  <c r="F9" i="1"/>
  <c r="F3" i="1"/>
  <c r="F2" i="1"/>
  <c r="F7" i="1"/>
  <c r="F4" i="1"/>
  <c r="F6" i="1"/>
</calcChain>
</file>

<file path=xl/sharedStrings.xml><?xml version="1.0" encoding="utf-8"?>
<sst xmlns="http://schemas.openxmlformats.org/spreadsheetml/2006/main" count="176" uniqueCount="129">
  <si>
    <t>№</t>
  </si>
  <si>
    <t>Помещение / зона</t>
  </si>
  <si>
    <t>Контекст лога строчными</t>
  </si>
  <si>
    <t>Тип термостата Sprut</t>
  </si>
  <si>
    <t>Номер NL</t>
  </si>
  <si>
    <t>Имя виртуального устройства</t>
  </si>
  <si>
    <t>Заголовок WB / Sprut</t>
  </si>
  <si>
    <t>Датчик воздуха MQTT</t>
  </si>
  <si>
    <t>Датчик пола MQTT</t>
  </si>
  <si>
    <t>Сервоприводы отопления MQTT через запятую</t>
  </si>
  <si>
    <t>Контур отопления</t>
  </si>
  <si>
    <t>Есть кондиционер</t>
  </si>
  <si>
    <t>Канал / устройство кондиционера</t>
  </si>
  <si>
    <t>Тип управления кондиционером</t>
  </si>
  <si>
    <t>Уставка воздуха по умолчанию, °C</t>
  </si>
  <si>
    <t>Пол при поддержании, °C</t>
  </si>
  <si>
    <t>Пол при нагреве, °C</t>
  </si>
  <si>
    <t>Порог охлаждения, °C</t>
  </si>
  <si>
    <t>Мин. уставки воздуха, °C</t>
  </si>
  <si>
    <t>Макс. уставки воздуха, °C</t>
  </si>
  <si>
    <t>Гистерезис воздуха, °C</t>
  </si>
  <si>
    <t>Гистерезис пола, °C</t>
  </si>
  <si>
    <t>Следует за зоной</t>
  </si>
  <si>
    <t>Особые условия</t>
  </si>
  <si>
    <t>Комментарий</t>
  </si>
  <si>
    <t>Гостиная</t>
  </si>
  <si>
    <t>гостиная</t>
  </si>
  <si>
    <t>NL_climate_thermostat</t>
  </si>
  <si>
    <t>Термостат гостиная</t>
  </si>
  <si>
    <t>ТП 1 этаж</t>
  </si>
  <si>
    <t>да</t>
  </si>
  <si>
    <t>Modbus</t>
  </si>
  <si>
    <t>Кухня</t>
  </si>
  <si>
    <t>кухня</t>
  </si>
  <si>
    <t>NL_combo_thermostat</t>
  </si>
  <si>
    <t>Термостат кухня</t>
  </si>
  <si>
    <t>нет</t>
  </si>
  <si>
    <t>Прихожая</t>
  </si>
  <si>
    <t>прихожая</t>
  </si>
  <si>
    <t>Термостат прихожая</t>
  </si>
  <si>
    <t>Гостевая</t>
  </si>
  <si>
    <t>гостевая</t>
  </si>
  <si>
    <t>Термостат гостевая</t>
  </si>
  <si>
    <t>Душевая 1 эт</t>
  </si>
  <si>
    <t>душевая</t>
  </si>
  <si>
    <t>Термостат душевая</t>
  </si>
  <si>
    <t>Детская слева</t>
  </si>
  <si>
    <t>детская слева</t>
  </si>
  <si>
    <t>Термостат детская слева</t>
  </si>
  <si>
    <t>ТП 2 этаж</t>
  </si>
  <si>
    <t>Детская справа</t>
  </si>
  <si>
    <t>детская справа</t>
  </si>
  <si>
    <t>Термостат детская справа</t>
  </si>
  <si>
    <t>Ванная 2 эт</t>
  </si>
  <si>
    <t>ванная</t>
  </si>
  <si>
    <t>Термостат ванная</t>
  </si>
  <si>
    <t>Гардероб</t>
  </si>
  <si>
    <t>гардероб</t>
  </si>
  <si>
    <t>Термостат гардероб</t>
  </si>
  <si>
    <t>Спальня</t>
  </si>
  <si>
    <t>спальня</t>
  </si>
  <si>
    <t>Термостат спальня</t>
  </si>
  <si>
    <t>Описание</t>
  </si>
  <si>
    <t>Насос MQTT</t>
  </si>
  <si>
    <t>Задержка включения насоса, сек</t>
  </si>
  <si>
    <t>Задержка выключения насоса, сек</t>
  </si>
  <si>
    <t>Как считать запрос тепла</t>
  </si>
  <si>
    <t>открыт хотя бы один сервопривод контура</t>
  </si>
  <si>
    <t>Тип управления</t>
  </si>
  <si>
    <t>Режимы</t>
  </si>
  <si>
    <t>нагрев / охлаждение / авто</t>
  </si>
  <si>
    <t>Для первого скрипта отопления не реализуется</t>
  </si>
  <si>
    <t>Тип термостата</t>
  </si>
  <si>
    <t>Маска распознавания Sprut</t>
  </si>
  <si>
    <t>Назначение</t>
  </si>
  <si>
    <t>Обязательные каналы WB</t>
  </si>
  <si>
    <t>NL_simple_thermostat</t>
  </si>
  <si>
    <t>NL_simple_thermostat_[0-9]{3}</t>
  </si>
  <si>
    <t>1 датчик температуры, 1 уставка, 1 нагревательный исполнительный канал</t>
  </si>
  <si>
    <t>temperature; target_temperature; target_state; current_state</t>
  </si>
  <si>
    <t>NL_combo_thermostat_[0-9]{3}</t>
  </si>
  <si>
    <t>воздух + пол, нагрев только через пол</t>
  </si>
  <si>
    <t>air_temperature; floor_temperature; target_temperature; target_state; current_state; floor_min_temperature; floor_max_temperature</t>
  </si>
  <si>
    <t>NL_climate_thermostat_[0-9]{3}</t>
  </si>
  <si>
    <t>воздух + пол, отопление и охлаждение; радиатор не обязателен</t>
  </si>
  <si>
    <t>air_temperature; floor_temperature; target_temperature; target_state; current_state; floor_min_temperature; floor_max_temperature; cooling_temperature</t>
  </si>
  <si>
    <t>Правило имени</t>
  </si>
  <si>
    <t>Имя виртуального устройства = Тип термостата Sprut + '_' + Номер NL в формате 000</t>
  </si>
  <si>
    <t>Пример</t>
  </si>
  <si>
    <t>NL_combo_thermostat_607</t>
  </si>
  <si>
    <t>Что заполнить перед задачей Codex</t>
  </si>
  <si>
    <t>1. На листе «Зоны» обязательно заполнить: тип термостата Sprut, номер NL, датчики, сервоприводы, контур отопления.</t>
  </si>
  <si>
    <t>2. «Имя виртуального устройства» считается автоматически по типу и номеру.</t>
  </si>
  <si>
    <t>3. Для обычных зон без кондиционера использовать NL_combo_thermostat, если есть воздух + пол.</t>
  </si>
  <si>
    <t>4. Для зон с охлаждением использовать NL_climate_thermostat только если будут заданы данные кондиционера.</t>
  </si>
  <si>
    <t>5. Если кондиционер есть, но его управление пока не реализуется, Codex должен явно зафиксировать это в отчёте и не придумывать каналы.</t>
  </si>
  <si>
    <t>6. Если зона следует за другой зоной — указать это в колонке «Следует за зоной».</t>
  </si>
  <si>
    <t>7. Если датчика нет — оставить ячейку пустой.</t>
  </si>
  <si>
    <t>8. Историю фактического открытия сервоприводов смотреть по физическим каналам.</t>
  </si>
  <si>
    <t>wb-msw-v4_203/Temperature</t>
  </si>
  <si>
    <t>wb-m1w2_123_2/External Sensor 1</t>
  </si>
  <si>
    <t>wb-mr6cu_218/K5</t>
  </si>
  <si>
    <t>wb-mr6cu_218/K3</t>
  </si>
  <si>
    <t>wb-m1w2_128/External Sensor 2</t>
  </si>
  <si>
    <t>ONOKOM-AIR-GR-3-MB-B_10/Active, ONOKOM-AIR-GR-3-MB-B_10/Target temperature</t>
  </si>
  <si>
    <t>wb-mr6cu_218/K6</t>
  </si>
  <si>
    <t>wb-m1w2_120/External Sensor 1</t>
  </si>
  <si>
    <t>wb-mr6cu_218/K1</t>
  </si>
  <si>
    <t>wb-m1w2_121/External Sensor 1</t>
  </si>
  <si>
    <t>wb-msw-v4_67/Temperature</t>
  </si>
  <si>
    <t>wb-m1w2_121/External Sensor 2</t>
  </si>
  <si>
    <t>wb-mr6cu_218/K2</t>
  </si>
  <si>
    <t>Выход на террасу</t>
  </si>
  <si>
    <t>Термостат выход на террасу</t>
  </si>
  <si>
    <t>выход на террасу</t>
  </si>
  <si>
    <t>wb-m1w2_108/External Sensor 2</t>
  </si>
  <si>
    <t>wb-mr6cu_218/K4</t>
  </si>
  <si>
    <t>wb-mr6cu_224/K1, wb-mr6cu_224/K2</t>
  </si>
  <si>
    <t>wb-m1w2_126/External Sensor 2</t>
  </si>
  <si>
    <t>wb-msw-v4_142/Temperature</t>
  </si>
  <si>
    <t>wb-mr6cu_224/K3, wb-mr6cu_224/K4</t>
  </si>
  <si>
    <t>wb-m1w2_126/External Sensor 1</t>
  </si>
  <si>
    <t>wb-mr6cu_224/K6</t>
  </si>
  <si>
    <t>wb-msw-v4_140/Temperature</t>
  </si>
  <si>
    <t>wb-m1w2_150/External Sensor 1</t>
  </si>
  <si>
    <t>ONOKOM-AIR-GR-3-MB-B_20/Active, ONOKOM-AIR-GR-3-MB-B_20/Target temperature</t>
  </si>
  <si>
    <t>wb-mr6cu_219/K1</t>
  </si>
  <si>
    <t>wb-m1w2_150/External Sensor 2</t>
  </si>
  <si>
    <t>wb-mr6cu_224/K5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</si>
</sst>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5">
    <font>
      <sz val="11"/>
      <name val="Carlito"/>
    </font>
    <font>
      <b/>
      <sz val="11"/>
      <color rgb="FFFFFFFF"/>
      <name val="Carlito"/>
    </font>
    <font>
      <b/>
      <sz val="14"/>
      <name val="Carlito"/>
    </font>
    <font>
      <sz val="11"/>
      <name val="Carlito"/>
    </font>
    <font>
      <sz val="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1" applyFont="1" applyAlignment="1">
      <alignment vertical="center" wrapText="1"/>
    </xf>
    <xf numFmtId="0" fontId="0" fillId="5" borderId="0" xfId="1" applyFont="1" applyFill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0" fontId="0" fillId="4" borderId="0" xfId="1" applyFont="1" applyFill="1" applyAlignment="1">
      <alignment vertical="center" wrapText="1"/>
    </xf>
    <xf numFmtId="0" fontId="0" fillId="0" borderId="0" xfId="1" applyFont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30"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onesTable" displayName="ZonesTable" ref="A1:Y12" headerRowDxfId="4" dataDxfId="2" totalsRowDxfId="3">
  <tableColumns count="25">
    <tableColumn id="1" xr3:uid="{00000000-0010-0000-0000-000001000000}" name="№" dataDxfId="29"/>
    <tableColumn id="2" xr3:uid="{00000000-0010-0000-0000-000002000000}" name="Помещение / зона" dataDxfId="28"/>
    <tableColumn id="3" xr3:uid="{00000000-0010-0000-0000-000003000000}" name="Контекст лога строчными" dataDxfId="27"/>
    <tableColumn id="4" xr3:uid="{00000000-0010-0000-0000-000004000000}" name="Тип термостата Sprut" dataDxfId="26"/>
    <tableColumn id="5" xr3:uid="{00000000-0010-0000-0000-000005000000}" name="Номер NL" dataDxfId="25"/>
    <tableColumn id="6" xr3:uid="{00000000-0010-0000-0000-000006000000}" name="Имя виртуального устройства" dataDxfId="24"/>
    <tableColumn id="7" xr3:uid="{00000000-0010-0000-0000-000007000000}" name="Заголовок WB / Sprut" dataDxfId="23"/>
    <tableColumn id="8" xr3:uid="{00000000-0010-0000-0000-000008000000}" name="Датчик воздуха MQTT" dataDxfId="22"/>
    <tableColumn id="9" xr3:uid="{00000000-0010-0000-0000-000009000000}" name="Датчик пола MQTT" dataDxfId="21"/>
    <tableColumn id="10" xr3:uid="{00000000-0010-0000-0000-00000A000000}" name="Сервоприводы отопления MQTT через запятую" dataDxfId="20"/>
    <tableColumn id="11" xr3:uid="{00000000-0010-0000-0000-00000B000000}" name="Контур отопления" dataDxfId="19"/>
    <tableColumn id="12" xr3:uid="{00000000-0010-0000-0000-00000C000000}" name="Есть кондиционер" dataDxfId="18"/>
    <tableColumn id="13" xr3:uid="{00000000-0010-0000-0000-00000D000000}" name="Канал / устройство кондиционера" dataDxfId="17"/>
    <tableColumn id="14" xr3:uid="{00000000-0010-0000-0000-00000E000000}" name="Тип управления кондиционером" dataDxfId="16"/>
    <tableColumn id="15" xr3:uid="{00000000-0010-0000-0000-00000F000000}" name="Уставка воздуха по умолчанию, °C" dataDxfId="15"/>
    <tableColumn id="16" xr3:uid="{00000000-0010-0000-0000-000010000000}" name="Пол при поддержании, °C" dataDxfId="14"/>
    <tableColumn id="17" xr3:uid="{00000000-0010-0000-0000-000011000000}" name="Пол при нагреве, °C" dataDxfId="13"/>
    <tableColumn id="18" xr3:uid="{00000000-0010-0000-0000-000012000000}" name="Порог охлаждения, °C" dataDxfId="12"/>
    <tableColumn id="19" xr3:uid="{00000000-0010-0000-0000-000013000000}" name="Мин. уставки воздуха, °C" dataDxfId="11"/>
    <tableColumn id="20" xr3:uid="{00000000-0010-0000-0000-000014000000}" name="Макс. уставки воздуха, °C" dataDxfId="10"/>
    <tableColumn id="21" xr3:uid="{00000000-0010-0000-0000-000015000000}" name="Гистерезис воздуха, °C" dataDxfId="9"/>
    <tableColumn id="22" xr3:uid="{00000000-0010-0000-0000-000016000000}" name="Гистерезис пола, °C" dataDxfId="8"/>
    <tableColumn id="23" xr3:uid="{00000000-0010-0000-0000-000017000000}" name="Следует за зоной" dataDxfId="7"/>
    <tableColumn id="24" xr3:uid="{00000000-0010-0000-0000-000018000000}" name="Особые условия" dataDxfId="6"/>
    <tableColumn id="25" xr3:uid="{00000000-0010-0000-0000-000019000000}" name="Комментарий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oursTable" displayName="ContoursTable" ref="A1:G3">
  <tableColumns count="7">
    <tableColumn id="1" xr3:uid="{00000000-0010-0000-0100-000001000000}" name="Контур отопления"/>
    <tableColumn id="2" xr3:uid="{00000000-0010-0000-0100-000002000000}" name="Описание"/>
    <tableColumn id="3" xr3:uid="{00000000-0010-0000-0100-000003000000}" name="Насос MQTT"/>
    <tableColumn id="4" xr3:uid="{00000000-0010-0000-0100-000004000000}" name="Задержка включения насоса, сек"/>
    <tableColumn id="5" xr3:uid="{00000000-0010-0000-0100-000005000000}" name="Задержка выключения насоса, сек"/>
    <tableColumn id="6" xr3:uid="{00000000-0010-0000-0100-000006000000}" name="Как считать запрос тепла"/>
    <tableColumn id="7" xr3:uid="{00000000-0010-0000-0100-000007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irConditionersTable" displayName="AirConditionersTable" ref="A1:F3">
  <tableColumns count="6">
    <tableColumn id="1" xr3:uid="{00000000-0010-0000-0200-000001000000}" name="Помещение / зона"/>
    <tableColumn id="2" xr3:uid="{00000000-0010-0000-0200-000002000000}" name="Есть кондиционер"/>
    <tableColumn id="3" xr3:uid="{00000000-0010-0000-0200-000003000000}" name="Канал / устройство кондиционера"/>
    <tableColumn id="4" xr3:uid="{00000000-0010-0000-0200-000004000000}" name="Тип управления"/>
    <tableColumn id="5" xr3:uid="{00000000-0010-0000-0200-000005000000}" name="Режимы"/>
    <tableColumn id="6" xr3:uid="{00000000-0010-0000-0200-000006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workbookViewId="0">
      <selection activeCell="J8" sqref="J8"/>
    </sheetView>
  </sheetViews>
  <sheetFormatPr defaultRowHeight="14.15"/>
  <cols>
    <col min="1" max="1" width="6" style="4" customWidth="1"/>
    <col min="2" max="3" width="22" style="4" customWidth="1"/>
    <col min="4" max="4" width="24" style="4" customWidth="1"/>
    <col min="5" max="5" width="10" style="4" customWidth="1"/>
    <col min="6" max="6" width="28" style="4" customWidth="1"/>
    <col min="7" max="7" width="26" style="4" customWidth="1"/>
    <col min="8" max="8" width="28" style="4" customWidth="1"/>
    <col min="9" max="9" width="30.5" style="4" customWidth="1"/>
    <col min="10" max="10" width="40" style="4" customWidth="1"/>
    <col min="11" max="11" width="16" style="4" customWidth="1"/>
    <col min="12" max="12" width="14" style="4" customWidth="1"/>
    <col min="13" max="13" width="28" style="4" customWidth="1"/>
    <col min="14" max="14" width="20" style="4" customWidth="1"/>
    <col min="15" max="22" width="16" style="4" customWidth="1"/>
    <col min="23" max="23" width="20" style="4" customWidth="1"/>
    <col min="24" max="25" width="28" style="4" customWidth="1"/>
    <col min="26" max="16384" width="9.140625" style="4"/>
  </cols>
  <sheetData>
    <row r="1" spans="1:25" ht="42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5">
        <v>1</v>
      </c>
      <c r="B2" s="5" t="s">
        <v>40</v>
      </c>
      <c r="C2" s="5" t="s">
        <v>41</v>
      </c>
      <c r="D2" s="6" t="s">
        <v>34</v>
      </c>
      <c r="E2" s="7">
        <v>601</v>
      </c>
      <c r="F2" s="5" t="str">
        <f>IF(E2="","",D2&amp;"_"&amp;TEXT(E2,"000"))</f>
        <v>NL_combo_thermostat_601</v>
      </c>
      <c r="G2" s="5" t="s">
        <v>42</v>
      </c>
      <c r="H2" s="5" t="s">
        <v>109</v>
      </c>
      <c r="I2" s="5" t="s">
        <v>108</v>
      </c>
      <c r="J2" s="5" t="s">
        <v>107</v>
      </c>
      <c r="K2" s="5" t="s">
        <v>29</v>
      </c>
      <c r="L2" s="5" t="s">
        <v>36</v>
      </c>
      <c r="M2" s="5"/>
      <c r="N2" s="5"/>
      <c r="O2" s="8">
        <v>22</v>
      </c>
      <c r="P2" s="8">
        <v>25</v>
      </c>
      <c r="Q2" s="8">
        <v>29</v>
      </c>
      <c r="R2" s="8"/>
      <c r="S2" s="8">
        <v>15</v>
      </c>
      <c r="T2" s="8">
        <v>30</v>
      </c>
      <c r="U2" s="8">
        <v>0.3</v>
      </c>
      <c r="V2" s="8">
        <v>1</v>
      </c>
      <c r="W2" s="5"/>
      <c r="X2" s="5"/>
      <c r="Y2" s="5"/>
    </row>
    <row r="3" spans="1:25">
      <c r="A3" s="5">
        <v>2</v>
      </c>
      <c r="B3" s="5" t="s">
        <v>43</v>
      </c>
      <c r="C3" s="5" t="s">
        <v>44</v>
      </c>
      <c r="D3" s="9" t="s">
        <v>76</v>
      </c>
      <c r="E3" s="7">
        <v>602</v>
      </c>
      <c r="F3" s="5" t="str">
        <f>IF(E3="","",D3&amp;"_"&amp;TEXT(E3,"000"))</f>
        <v>NL_simple_thermostat_602</v>
      </c>
      <c r="G3" s="5" t="s">
        <v>45</v>
      </c>
      <c r="H3" s="5"/>
      <c r="I3" s="5" t="s">
        <v>110</v>
      </c>
      <c r="J3" s="5" t="s">
        <v>111</v>
      </c>
      <c r="K3" s="5" t="s">
        <v>29</v>
      </c>
      <c r="L3" s="5" t="s">
        <v>36</v>
      </c>
      <c r="M3" s="5"/>
      <c r="N3" s="5"/>
      <c r="O3" s="8">
        <v>22</v>
      </c>
      <c r="P3" s="8">
        <v>25</v>
      </c>
      <c r="Q3" s="8">
        <v>29</v>
      </c>
      <c r="R3" s="8"/>
      <c r="S3" s="8">
        <v>15</v>
      </c>
      <c r="T3" s="8">
        <v>30</v>
      </c>
      <c r="U3" s="8">
        <v>0.3</v>
      </c>
      <c r="V3" s="8">
        <v>1</v>
      </c>
      <c r="W3" s="5"/>
      <c r="X3" s="5"/>
      <c r="Y3" s="5"/>
    </row>
    <row r="4" spans="1:25">
      <c r="A4" s="5">
        <v>3</v>
      </c>
      <c r="B4" s="5" t="s">
        <v>32</v>
      </c>
      <c r="C4" s="5" t="s">
        <v>33</v>
      </c>
      <c r="D4" s="9" t="s">
        <v>76</v>
      </c>
      <c r="E4" s="7">
        <v>603</v>
      </c>
      <c r="F4" s="5" t="str">
        <f>IF(E4="","",D4&amp;"_"&amp;TEXT(E4,"000"))</f>
        <v>NL_simple_thermostat_603</v>
      </c>
      <c r="G4" s="5" t="s">
        <v>35</v>
      </c>
      <c r="H4" s="5"/>
      <c r="I4" s="5" t="s">
        <v>103</v>
      </c>
      <c r="J4" s="5" t="s">
        <v>102</v>
      </c>
      <c r="K4" s="5" t="s">
        <v>29</v>
      </c>
      <c r="L4" s="5" t="s">
        <v>36</v>
      </c>
      <c r="M4" s="5"/>
      <c r="N4" s="5"/>
      <c r="O4" s="8">
        <v>22</v>
      </c>
      <c r="P4" s="8">
        <v>25</v>
      </c>
      <c r="Q4" s="8">
        <v>29</v>
      </c>
      <c r="R4" s="8"/>
      <c r="S4" s="8">
        <v>15</v>
      </c>
      <c r="T4" s="8">
        <v>30</v>
      </c>
      <c r="U4" s="8">
        <v>0.3</v>
      </c>
      <c r="V4" s="8">
        <v>1</v>
      </c>
      <c r="W4" s="5"/>
      <c r="X4" s="5"/>
      <c r="Y4" s="5"/>
    </row>
    <row r="5" spans="1:25">
      <c r="A5" s="5">
        <v>4</v>
      </c>
      <c r="B5" s="5" t="s">
        <v>112</v>
      </c>
      <c r="C5" s="5" t="s">
        <v>114</v>
      </c>
      <c r="D5" s="9" t="s">
        <v>76</v>
      </c>
      <c r="E5" s="7">
        <v>604</v>
      </c>
      <c r="F5" s="5" t="str">
        <f>IF(E5="","",D5&amp;"_"&amp;TEXT(E5,"000"))</f>
        <v>NL_simple_thermostat_604</v>
      </c>
      <c r="G5" s="5" t="s">
        <v>113</v>
      </c>
      <c r="H5" s="5"/>
      <c r="I5" s="5" t="s">
        <v>115</v>
      </c>
      <c r="J5" s="5" t="s">
        <v>116</v>
      </c>
      <c r="K5" s="5" t="s">
        <v>29</v>
      </c>
      <c r="L5" s="5" t="s">
        <v>36</v>
      </c>
      <c r="M5" s="5"/>
      <c r="N5" s="5"/>
      <c r="O5" s="8">
        <v>22</v>
      </c>
      <c r="P5" s="8">
        <v>25</v>
      </c>
      <c r="Q5" s="8">
        <v>29</v>
      </c>
      <c r="R5" s="8"/>
      <c r="S5" s="8">
        <v>15</v>
      </c>
      <c r="T5" s="8">
        <v>30</v>
      </c>
      <c r="U5" s="8">
        <v>0.3</v>
      </c>
      <c r="V5" s="8">
        <v>1</v>
      </c>
      <c r="W5" s="5"/>
      <c r="X5" s="5"/>
      <c r="Y5" s="5"/>
    </row>
    <row r="6" spans="1:25">
      <c r="A6" s="5">
        <v>5</v>
      </c>
      <c r="B6" s="5" t="s">
        <v>25</v>
      </c>
      <c r="C6" s="5" t="s">
        <v>26</v>
      </c>
      <c r="D6" s="5" t="s">
        <v>27</v>
      </c>
      <c r="E6" s="7">
        <v>605</v>
      </c>
      <c r="F6" s="5" t="str">
        <f>IF(E6="","",D6&amp;"_"&amp;TEXT(E6,"000"))</f>
        <v>NL_climate_thermostat_605</v>
      </c>
      <c r="G6" s="5" t="s">
        <v>28</v>
      </c>
      <c r="H6" s="5" t="s">
        <v>99</v>
      </c>
      <c r="I6" s="5" t="s">
        <v>100</v>
      </c>
      <c r="J6" s="5" t="s">
        <v>101</v>
      </c>
      <c r="K6" s="5" t="s">
        <v>29</v>
      </c>
      <c r="L6" s="5" t="s">
        <v>30</v>
      </c>
      <c r="M6" s="10" t="s">
        <v>104</v>
      </c>
      <c r="N6" s="5" t="s">
        <v>31</v>
      </c>
      <c r="O6" s="8">
        <v>22</v>
      </c>
      <c r="P6" s="8">
        <v>25</v>
      </c>
      <c r="Q6" s="8">
        <v>29</v>
      </c>
      <c r="R6" s="8">
        <v>25</v>
      </c>
      <c r="S6" s="8">
        <v>15</v>
      </c>
      <c r="T6" s="8">
        <v>30</v>
      </c>
      <c r="U6" s="8">
        <v>0.3</v>
      </c>
      <c r="V6" s="8">
        <v>1</v>
      </c>
      <c r="W6" s="5"/>
      <c r="X6" s="5"/>
      <c r="Y6" s="5"/>
    </row>
    <row r="7" spans="1:25">
      <c r="A7" s="5">
        <v>6</v>
      </c>
      <c r="B7" s="5" t="s">
        <v>37</v>
      </c>
      <c r="C7" s="5" t="s">
        <v>38</v>
      </c>
      <c r="D7" s="9" t="s">
        <v>76</v>
      </c>
      <c r="E7" s="7">
        <v>606</v>
      </c>
      <c r="F7" s="5" t="str">
        <f t="shared" ref="F7:F12" si="0">IF(E7="","",D7&amp;"_"&amp;TEXT(E7,"000"))</f>
        <v>NL_simple_thermostat_606</v>
      </c>
      <c r="G7" s="5" t="s">
        <v>39</v>
      </c>
      <c r="H7" s="5"/>
      <c r="I7" s="5" t="s">
        <v>106</v>
      </c>
      <c r="J7" s="5" t="s">
        <v>105</v>
      </c>
      <c r="K7" s="5" t="s">
        <v>29</v>
      </c>
      <c r="L7" s="5" t="s">
        <v>36</v>
      </c>
      <c r="M7" s="5"/>
      <c r="N7" s="5"/>
      <c r="O7" s="8">
        <v>22</v>
      </c>
      <c r="P7" s="8">
        <v>25</v>
      </c>
      <c r="Q7" s="8">
        <v>29</v>
      </c>
      <c r="R7" s="8"/>
      <c r="S7" s="8">
        <v>15</v>
      </c>
      <c r="T7" s="8">
        <v>30</v>
      </c>
      <c r="U7" s="8">
        <v>0.3</v>
      </c>
      <c r="V7" s="8">
        <v>1</v>
      </c>
      <c r="W7" s="5"/>
      <c r="X7" s="5"/>
      <c r="Y7" s="5"/>
    </row>
    <row r="8" spans="1:25">
      <c r="A8" s="5">
        <v>7</v>
      </c>
      <c r="B8" s="5" t="s">
        <v>50</v>
      </c>
      <c r="C8" s="5" t="s">
        <v>51</v>
      </c>
      <c r="D8" s="6" t="s">
        <v>34</v>
      </c>
      <c r="E8" s="7">
        <v>607</v>
      </c>
      <c r="F8" s="5" t="str">
        <f>IF(E8="","",D8&amp;"_"&amp;TEXT(E8,"000"))</f>
        <v>NL_combo_thermostat_607</v>
      </c>
      <c r="G8" s="5" t="s">
        <v>52</v>
      </c>
      <c r="H8" s="5" t="s">
        <v>119</v>
      </c>
      <c r="I8" s="5" t="s">
        <v>118</v>
      </c>
      <c r="J8" s="5" t="s">
        <v>117</v>
      </c>
      <c r="K8" s="5" t="s">
        <v>49</v>
      </c>
      <c r="L8" s="5" t="s">
        <v>36</v>
      </c>
      <c r="M8" s="5"/>
      <c r="N8" s="5"/>
      <c r="O8" s="8">
        <v>22</v>
      </c>
      <c r="P8" s="8">
        <v>25</v>
      </c>
      <c r="Q8" s="8">
        <v>29</v>
      </c>
      <c r="R8" s="8"/>
      <c r="S8" s="8">
        <v>15</v>
      </c>
      <c r="T8" s="8">
        <v>30</v>
      </c>
      <c r="U8" s="8">
        <v>0.3</v>
      </c>
      <c r="V8" s="8">
        <v>1</v>
      </c>
      <c r="W8" s="5"/>
      <c r="X8" s="5"/>
      <c r="Y8" s="5"/>
    </row>
    <row r="9" spans="1:25">
      <c r="A9" s="5">
        <v>8</v>
      </c>
      <c r="B9" s="5" t="s">
        <v>46</v>
      </c>
      <c r="C9" s="5" t="s">
        <v>47</v>
      </c>
      <c r="D9" s="6" t="s">
        <v>34</v>
      </c>
      <c r="E9" s="7">
        <v>609</v>
      </c>
      <c r="F9" s="5" t="str">
        <f>IF(E9="","",D9&amp;"_"&amp;TEXT(E9,"000"))</f>
        <v>NL_combo_thermostat_609</v>
      </c>
      <c r="G9" s="5" t="s">
        <v>48</v>
      </c>
      <c r="H9" s="5"/>
      <c r="I9" s="5" t="s">
        <v>121</v>
      </c>
      <c r="J9" s="5" t="s">
        <v>120</v>
      </c>
      <c r="K9" s="5" t="s">
        <v>49</v>
      </c>
      <c r="L9" s="5" t="s">
        <v>36</v>
      </c>
      <c r="M9" s="5"/>
      <c r="N9" s="5"/>
      <c r="O9" s="8">
        <v>22</v>
      </c>
      <c r="P9" s="8">
        <v>25</v>
      </c>
      <c r="Q9" s="8">
        <v>29</v>
      </c>
      <c r="R9" s="8"/>
      <c r="S9" s="8">
        <v>15</v>
      </c>
      <c r="T9" s="8">
        <v>30</v>
      </c>
      <c r="U9" s="8">
        <v>0.3</v>
      </c>
      <c r="V9" s="8">
        <v>1</v>
      </c>
      <c r="W9" s="5"/>
      <c r="X9" s="5"/>
      <c r="Y9" s="5"/>
    </row>
    <row r="10" spans="1:25">
      <c r="A10" s="5">
        <v>9</v>
      </c>
      <c r="B10" s="5" t="s">
        <v>56</v>
      </c>
      <c r="C10" s="5" t="s">
        <v>57</v>
      </c>
      <c r="D10" s="9" t="s">
        <v>76</v>
      </c>
      <c r="E10" s="7">
        <v>611</v>
      </c>
      <c r="F10" s="5" t="str">
        <f>IF(E10="","",D10&amp;"_"&amp;TEXT(E10,"000"))</f>
        <v>NL_simple_thermostat_611</v>
      </c>
      <c r="G10" s="5" t="s">
        <v>58</v>
      </c>
      <c r="H10" s="5"/>
      <c r="I10" s="5" t="s">
        <v>127</v>
      </c>
      <c r="J10" s="5" t="s">
        <v>128</v>
      </c>
      <c r="K10" s="5" t="s">
        <v>49</v>
      </c>
      <c r="L10" s="5" t="s">
        <v>36</v>
      </c>
      <c r="M10" s="5"/>
      <c r="N10" s="5"/>
      <c r="O10" s="8">
        <v>22</v>
      </c>
      <c r="P10" s="8">
        <v>25</v>
      </c>
      <c r="Q10" s="8">
        <v>29</v>
      </c>
      <c r="R10" s="8"/>
      <c r="S10" s="8">
        <v>15</v>
      </c>
      <c r="T10" s="8">
        <v>30</v>
      </c>
      <c r="U10" s="8">
        <v>0.3</v>
      </c>
      <c r="V10" s="8">
        <v>1</v>
      </c>
      <c r="W10" s="5"/>
      <c r="X10" s="5"/>
      <c r="Y10" s="5"/>
    </row>
    <row r="11" spans="1:25">
      <c r="A11" s="5">
        <v>10</v>
      </c>
      <c r="B11" s="5" t="s">
        <v>59</v>
      </c>
      <c r="C11" s="5" t="s">
        <v>60</v>
      </c>
      <c r="D11" s="5" t="s">
        <v>27</v>
      </c>
      <c r="E11" s="7">
        <v>612</v>
      </c>
      <c r="F11" s="5" t="str">
        <f>IF(E11="","",D11&amp;"_"&amp;TEXT(E11,"000"))</f>
        <v>NL_climate_thermostat_612</v>
      </c>
      <c r="G11" s="5" t="s">
        <v>61</v>
      </c>
      <c r="H11" s="5" t="s">
        <v>123</v>
      </c>
      <c r="I11" s="5" t="s">
        <v>124</v>
      </c>
      <c r="J11" s="5" t="s">
        <v>122</v>
      </c>
      <c r="K11" s="5" t="s">
        <v>49</v>
      </c>
      <c r="L11" s="5" t="s">
        <v>30</v>
      </c>
      <c r="M11" s="10" t="s">
        <v>125</v>
      </c>
      <c r="N11" s="5" t="s">
        <v>31</v>
      </c>
      <c r="O11" s="8">
        <v>22</v>
      </c>
      <c r="P11" s="8">
        <v>25</v>
      </c>
      <c r="Q11" s="8">
        <v>29</v>
      </c>
      <c r="R11" s="8">
        <v>25</v>
      </c>
      <c r="S11" s="8">
        <v>15</v>
      </c>
      <c r="T11" s="8">
        <v>30</v>
      </c>
      <c r="U11" s="8">
        <v>0.3</v>
      </c>
      <c r="V11" s="8">
        <v>1</v>
      </c>
      <c r="W11" s="5"/>
      <c r="X11" s="5"/>
      <c r="Y11" s="5"/>
    </row>
    <row r="12" spans="1:25">
      <c r="A12" s="5">
        <v>11</v>
      </c>
      <c r="B12" s="5" t="s">
        <v>53</v>
      </c>
      <c r="C12" s="5" t="s">
        <v>54</v>
      </c>
      <c r="D12" s="9" t="s">
        <v>76</v>
      </c>
      <c r="E12" s="7">
        <v>613</v>
      </c>
      <c r="F12" s="5" t="str">
        <f t="shared" si="0"/>
        <v>NL_simple_thermostat_613</v>
      </c>
      <c r="G12" s="5" t="s">
        <v>55</v>
      </c>
      <c r="H12" s="5"/>
      <c r="I12" s="5"/>
      <c r="J12" s="5" t="s">
        <v>126</v>
      </c>
      <c r="K12" s="5" t="s">
        <v>49</v>
      </c>
      <c r="L12" s="5" t="s">
        <v>36</v>
      </c>
      <c r="M12" s="5"/>
      <c r="N12" s="5"/>
      <c r="O12" s="8">
        <v>22</v>
      </c>
      <c r="P12" s="8">
        <v>25</v>
      </c>
      <c r="Q12" s="8">
        <v>29</v>
      </c>
      <c r="R12" s="8"/>
      <c r="S12" s="8">
        <v>15</v>
      </c>
      <c r="T12" s="8">
        <v>30</v>
      </c>
      <c r="U12" s="8">
        <v>0.3</v>
      </c>
      <c r="V12" s="8">
        <v>1</v>
      </c>
      <c r="W12" s="5"/>
      <c r="X12" s="5"/>
      <c r="Y12" s="5"/>
    </row>
  </sheetData>
  <phoneticPr fontId="4" type="noConversion"/>
  <conditionalFormatting sqref="D2:D12">
    <cfRule type="expression" dxfId="1" priority="1">
      <formula>D2="NL_climate_thermostat"</formula>
    </cfRule>
  </conditionalFormatting>
  <conditionalFormatting sqref="E2:F12">
    <cfRule type="expression" dxfId="0" priority="2">
      <formula>E2=""</formula>
    </cfRule>
  </conditionalFormatting>
  <dataValidations count="2">
    <dataValidation type="list" sqref="D2:D12" xr:uid="{00000000-0002-0000-0000-000000000000}">
      <formula1>"NL_simple_thermostat,NL_combo_thermostat,NL_climate_thermostat"</formula1>
    </dataValidation>
    <dataValidation type="list" sqref="L2:L12" xr:uid="{00000000-0002-0000-0000-000001000000}">
      <formula1>"нет,да"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15"/>
  <cols>
    <col min="1" max="1" width="18" customWidth="1"/>
    <col min="2" max="2" width="32" customWidth="1"/>
    <col min="3" max="3" width="22" customWidth="1"/>
    <col min="4" max="5" width="20" customWidth="1"/>
    <col min="6" max="6" width="34" customWidth="1"/>
    <col min="7" max="7" width="28" customWidth="1"/>
  </cols>
  <sheetData>
    <row r="1" spans="1:7" ht="42.45">
      <c r="A1" s="1" t="s">
        <v>10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24</v>
      </c>
    </row>
    <row r="2" spans="1:7" ht="28.3">
      <c r="A2" s="2" t="s">
        <v>29</v>
      </c>
      <c r="B2" s="2"/>
      <c r="C2" s="2"/>
      <c r="D2" s="2">
        <v>180</v>
      </c>
      <c r="E2" s="2">
        <v>180</v>
      </c>
      <c r="F2" s="2" t="s">
        <v>67</v>
      </c>
      <c r="G2" s="2"/>
    </row>
    <row r="3" spans="1:7" ht="28.3">
      <c r="A3" s="2" t="s">
        <v>49</v>
      </c>
      <c r="B3" s="2"/>
      <c r="C3" s="2"/>
      <c r="D3" s="2">
        <v>180</v>
      </c>
      <c r="E3" s="2">
        <v>180</v>
      </c>
      <c r="F3" s="2" t="s">
        <v>67</v>
      </c>
      <c r="G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4.15"/>
  <cols>
    <col min="1" max="1" width="24" customWidth="1"/>
    <col min="2" max="2" width="16" customWidth="1"/>
    <col min="3" max="3" width="30" customWidth="1"/>
    <col min="4" max="4" width="20" customWidth="1"/>
    <col min="5" max="5" width="26" customWidth="1"/>
    <col min="6" max="6" width="38" customWidth="1"/>
  </cols>
  <sheetData>
    <row r="1" spans="1:6" ht="28.3">
      <c r="A1" s="1" t="s">
        <v>1</v>
      </c>
      <c r="B1" s="1" t="s">
        <v>11</v>
      </c>
      <c r="C1" s="1" t="s">
        <v>12</v>
      </c>
      <c r="D1" s="1" t="s">
        <v>68</v>
      </c>
      <c r="E1" s="1" t="s">
        <v>69</v>
      </c>
      <c r="F1" s="1" t="s">
        <v>24</v>
      </c>
    </row>
    <row r="2" spans="1:6" ht="28.3">
      <c r="A2" s="2" t="s">
        <v>25</v>
      </c>
      <c r="B2" s="2" t="s">
        <v>30</v>
      </c>
      <c r="C2" s="2"/>
      <c r="D2" s="2" t="s">
        <v>31</v>
      </c>
      <c r="E2" s="2" t="s">
        <v>70</v>
      </c>
      <c r="F2" s="2" t="s">
        <v>71</v>
      </c>
    </row>
    <row r="3" spans="1:6" ht="28.3">
      <c r="A3" s="2" t="s">
        <v>59</v>
      </c>
      <c r="B3" s="2" t="s">
        <v>30</v>
      </c>
      <c r="C3" s="2"/>
      <c r="D3" s="2" t="s">
        <v>31</v>
      </c>
      <c r="E3" s="2" t="s">
        <v>70</v>
      </c>
      <c r="F3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15"/>
  <cols>
    <col min="1" max="1" width="24" customWidth="1"/>
    <col min="2" max="2" width="34" customWidth="1"/>
    <col min="3" max="3" width="56" customWidth="1"/>
    <col min="4" max="4" width="70" customWidth="1"/>
  </cols>
  <sheetData>
    <row r="1" spans="1:4">
      <c r="A1" s="1" t="s">
        <v>72</v>
      </c>
      <c r="B1" s="1" t="s">
        <v>73</v>
      </c>
      <c r="C1" s="1" t="s">
        <v>74</v>
      </c>
      <c r="D1" s="1" t="s">
        <v>75</v>
      </c>
    </row>
    <row r="2" spans="1:4" ht="28.3">
      <c r="A2" s="2" t="s">
        <v>76</v>
      </c>
      <c r="B2" s="2" t="s">
        <v>77</v>
      </c>
      <c r="C2" s="2" t="s">
        <v>78</v>
      </c>
      <c r="D2" s="2" t="s">
        <v>79</v>
      </c>
    </row>
    <row r="3" spans="1:4" ht="28.3">
      <c r="A3" s="2" t="s">
        <v>34</v>
      </c>
      <c r="B3" s="2" t="s">
        <v>80</v>
      </c>
      <c r="C3" s="2" t="s">
        <v>81</v>
      </c>
      <c r="D3" s="2" t="s">
        <v>82</v>
      </c>
    </row>
    <row r="4" spans="1:4" ht="28.3">
      <c r="A4" s="2" t="s">
        <v>27</v>
      </c>
      <c r="B4" s="2" t="s">
        <v>83</v>
      </c>
      <c r="C4" s="2" t="s">
        <v>84</v>
      </c>
      <c r="D4" s="2" t="s">
        <v>85</v>
      </c>
    </row>
    <row r="5" spans="1:4">
      <c r="A5" s="2"/>
      <c r="B5" s="2"/>
      <c r="C5" s="2"/>
      <c r="D5" s="2"/>
    </row>
    <row r="6" spans="1:4" ht="42.45">
      <c r="A6" s="2" t="s">
        <v>86</v>
      </c>
      <c r="B6" s="2" t="s">
        <v>87</v>
      </c>
      <c r="C6" s="2"/>
      <c r="D6" s="2"/>
    </row>
    <row r="7" spans="1:4">
      <c r="A7" s="2" t="s">
        <v>88</v>
      </c>
      <c r="B7" s="2" t="s">
        <v>89</v>
      </c>
      <c r="C7" s="2"/>
      <c r="D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workbookViewId="0"/>
  </sheetViews>
  <sheetFormatPr defaultRowHeight="14.15"/>
  <cols>
    <col min="1" max="1" width="110" customWidth="1"/>
  </cols>
  <sheetData>
    <row r="1" spans="1:1" ht="17.600000000000001">
      <c r="A1" s="3" t="s">
        <v>90</v>
      </c>
    </row>
    <row r="2" spans="1:1">
      <c r="A2" s="2"/>
    </row>
    <row r="3" spans="1:1">
      <c r="A3" s="2" t="s">
        <v>91</v>
      </c>
    </row>
    <row r="4" spans="1:1">
      <c r="A4" s="2" t="s">
        <v>92</v>
      </c>
    </row>
    <row r="5" spans="1:1">
      <c r="A5" s="2" t="s">
        <v>93</v>
      </c>
    </row>
    <row r="6" spans="1:1">
      <c r="A6" s="2" t="s">
        <v>94</v>
      </c>
    </row>
    <row r="7" spans="1:1" ht="28.3">
      <c r="A7" s="2" t="s">
        <v>95</v>
      </c>
    </row>
    <row r="8" spans="1:1">
      <c r="A8" s="2" t="s">
        <v>96</v>
      </c>
    </row>
    <row r="9" spans="1:1">
      <c r="A9" s="2" t="s">
        <v>97</v>
      </c>
    </row>
    <row r="10" spans="1:1">
      <c r="A10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Зоны</vt:lpstr>
      <vt:lpstr>Контуры</vt:lpstr>
      <vt:lpstr>Кондиционеры</vt:lpstr>
      <vt:lpstr>Справочник</vt:lpstr>
      <vt:lpstr>Памятка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Перепёлкин</dc:creator>
  <cp:lastModifiedBy>Сергей Перепёлкин</cp:lastModifiedBy>
  <dcterms:created xsi:type="dcterms:W3CDTF">2026-05-10T19:17:44Z</dcterms:created>
  <dcterms:modified xsi:type="dcterms:W3CDTF">2026-05-11T21:05:47Z</dcterms:modified>
</cp:coreProperties>
</file>